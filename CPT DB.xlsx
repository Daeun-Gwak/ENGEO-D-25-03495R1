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supervised learning\"/>
    </mc:Choice>
  </mc:AlternateContent>
  <xr:revisionPtr revIDLastSave="0" documentId="13_ncr:1_{C4361E0D-DAF6-4038-AA30-7802E62FBD44}" xr6:coauthVersionLast="47" xr6:coauthVersionMax="47" xr10:uidLastSave="{00000000-0000-0000-0000-000000000000}"/>
  <bookViews>
    <workbookView xWindow="11424" yWindow="0" windowWidth="11712" windowHeight="12336" xr2:uid="{94CD7A97-724A-4D05-8B58-15F6BE71BE24}"/>
  </bookViews>
  <sheets>
    <sheet name="clean" sheetId="3" r:id="rId1"/>
  </sheets>
  <definedNames>
    <definedName name="_xlnm._FilterDatabase" localSheetId="0" hidden="1">clean!$A$1:$M$21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3" l="1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<sst xmlns="http://schemas.openxmlformats.org/spreadsheetml/2006/main" count="67" uniqueCount="19">
  <si>
    <t>Reference</t>
    <phoneticPr fontId="1" type="noConversion"/>
  </si>
  <si>
    <t>Site</t>
    <phoneticPr fontId="1" type="noConversion"/>
  </si>
  <si>
    <t>Soil Type</t>
    <phoneticPr fontId="1" type="noConversion"/>
  </si>
  <si>
    <t>OCR</t>
    <phoneticPr fontId="1" type="noConversion"/>
  </si>
  <si>
    <t>depth</t>
    <phoneticPr fontId="1" type="noConversion"/>
  </si>
  <si>
    <t>Amherst</t>
  </si>
  <si>
    <t>Anacostia</t>
  </si>
  <si>
    <t>Arnprior</t>
  </si>
  <si>
    <t>intact</t>
  </si>
  <si>
    <t>Chen &amp; Mayne (1994)</t>
    <phoneticPr fontId="1" type="noConversion"/>
  </si>
  <si>
    <t>Chen &amp; Mayne (1994)</t>
  </si>
  <si>
    <r>
      <t>q</t>
    </r>
    <r>
      <rPr>
        <vertAlign val="subscript"/>
        <sz val="12"/>
        <rFont val="맑은 고딕"/>
        <family val="3"/>
        <charset val="129"/>
        <scheme val="major"/>
      </rPr>
      <t>t</t>
    </r>
  </si>
  <si>
    <r>
      <t>u</t>
    </r>
    <r>
      <rPr>
        <vertAlign val="subscript"/>
        <sz val="12"/>
        <rFont val="맑은 고딕"/>
        <family val="3"/>
        <charset val="129"/>
        <scheme val="major"/>
      </rPr>
      <t>0</t>
    </r>
  </si>
  <si>
    <r>
      <t>u</t>
    </r>
    <r>
      <rPr>
        <vertAlign val="subscript"/>
        <sz val="12"/>
        <rFont val="맑은 고딕"/>
        <family val="3"/>
        <charset val="129"/>
        <scheme val="major"/>
      </rPr>
      <t>2</t>
    </r>
  </si>
  <si>
    <r>
      <t>σ</t>
    </r>
    <r>
      <rPr>
        <vertAlign val="subscript"/>
        <sz val="12"/>
        <rFont val="맑은 고딕"/>
        <family val="3"/>
        <charset val="129"/>
        <scheme val="major"/>
      </rPr>
      <t>vo</t>
    </r>
    <phoneticPr fontId="1" type="noConversion"/>
  </si>
  <si>
    <r>
      <t>σ</t>
    </r>
    <r>
      <rPr>
        <vertAlign val="subscript"/>
        <sz val="12"/>
        <rFont val="맑은 고딕"/>
        <family val="3"/>
        <charset val="129"/>
        <scheme val="major"/>
      </rPr>
      <t>vo</t>
    </r>
    <r>
      <rPr>
        <sz val="12"/>
        <rFont val="맑은 고딕"/>
        <family val="3"/>
        <charset val="129"/>
        <scheme val="major"/>
      </rPr>
      <t>'</t>
    </r>
    <phoneticPr fontId="1" type="noConversion"/>
  </si>
  <si>
    <r>
      <t>Q</t>
    </r>
    <r>
      <rPr>
        <vertAlign val="subscript"/>
        <sz val="12"/>
        <rFont val="맑은 고딕"/>
        <family val="3"/>
        <charset val="129"/>
        <scheme val="major"/>
      </rPr>
      <t>t</t>
    </r>
    <phoneticPr fontId="1" type="noConversion"/>
  </si>
  <si>
    <r>
      <t>B</t>
    </r>
    <r>
      <rPr>
        <vertAlign val="subscript"/>
        <sz val="12"/>
        <rFont val="맑은 고딕"/>
        <family val="3"/>
        <charset val="129"/>
        <scheme val="major"/>
      </rPr>
      <t>q</t>
    </r>
    <phoneticPr fontId="1" type="noConversion"/>
  </si>
  <si>
    <r>
      <rPr>
        <sz val="12"/>
        <rFont val="Calibri"/>
        <family val="3"/>
        <charset val="161"/>
      </rPr>
      <t>σ</t>
    </r>
    <r>
      <rPr>
        <vertAlign val="subscript"/>
        <sz val="12"/>
        <rFont val="맑은 고딕"/>
        <family val="3"/>
        <charset val="129"/>
        <scheme val="major"/>
      </rPr>
      <t>p</t>
    </r>
    <r>
      <rPr>
        <sz val="12"/>
        <rFont val="맑은 고딕"/>
        <family val="3"/>
        <charset val="129"/>
        <scheme val="major"/>
      </rPr>
      <t>'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</si>
</sst>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vertAlign val="subscript"/>
      <sz val="12"/>
      <name val="맑은 고딕"/>
      <family val="3"/>
      <charset val="129"/>
      <scheme val="major"/>
    </font>
    <font>
      <sz val="12"/>
      <name val="Calibri"/>
      <family val="3"/>
      <charset val="161"/>
    </font>
    <font>
      <sz val="12"/>
      <name val="맑은 고딕"/>
      <family val="3"/>
      <charset val="16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2B8C-9F18-478A-A2FF-E9E6798FE851}">
  <dimension ref="A1:M21"/>
  <sheetViews>
    <sheetView tabSelected="1" zoomScale="70" zoomScaleNormal="70" workbookViewId="0">
      <pane ySplit="1" topLeftCell="A6" activePane="bottomLeft" state="frozen"/>
      <selection pane="bottomLeft" activeCell="B19" sqref="B18:C19"/>
    </sheetView>
  </sheetViews>
  <sheetFormatPr defaultColWidth="9" defaultRowHeight="17.399999999999999" x14ac:dyDescent="0.4"/>
  <cols>
    <col min="1" max="1" width="30.3984375" style="2" customWidth="1"/>
    <col min="2" max="2" width="16.09765625" style="2" customWidth="1"/>
    <col min="3" max="3" width="20.3984375" style="1" customWidth="1"/>
    <col min="4" max="4" width="19.3984375" style="1" customWidth="1"/>
    <col min="5" max="5" width="17.09765625" style="1" customWidth="1"/>
    <col min="6" max="6" width="15.3984375" style="1" customWidth="1"/>
    <col min="7" max="7" width="16.3984375" style="1" customWidth="1"/>
    <col min="8" max="8" width="15" style="1" customWidth="1"/>
    <col min="9" max="9" width="13.8984375" style="1" customWidth="1"/>
    <col min="10" max="10" width="14.59765625" style="1" customWidth="1"/>
    <col min="11" max="11" width="16" style="1" customWidth="1"/>
    <col min="12" max="12" width="18" style="1" customWidth="1"/>
    <col min="13" max="13" width="18.19921875" style="1" customWidth="1"/>
    <col min="14" max="16384" width="9" style="1"/>
  </cols>
  <sheetData>
    <row r="1" spans="1:13" ht="18.75" customHeight="1" x14ac:dyDescent="0.4">
      <c r="A1" s="7" t="s">
        <v>0</v>
      </c>
      <c r="B1" s="7" t="s">
        <v>1</v>
      </c>
      <c r="C1" s="7" t="s">
        <v>2</v>
      </c>
      <c r="D1" s="8" t="s">
        <v>3</v>
      </c>
      <c r="E1" s="10" t="s">
        <v>18</v>
      </c>
      <c r="F1" s="7" t="s">
        <v>4</v>
      </c>
      <c r="G1" s="9" t="s">
        <v>11</v>
      </c>
      <c r="H1" s="9" t="s">
        <v>12</v>
      </c>
      <c r="I1" s="9" t="s">
        <v>13</v>
      </c>
      <c r="J1" s="9" t="s">
        <v>14</v>
      </c>
      <c r="K1" s="9" t="s">
        <v>15</v>
      </c>
      <c r="L1" s="9" t="s">
        <v>16</v>
      </c>
      <c r="M1" s="9" t="s">
        <v>17</v>
      </c>
    </row>
    <row r="2" spans="1:13" ht="19.2" x14ac:dyDescent="0.4">
      <c r="A2" s="5" t="s">
        <v>9</v>
      </c>
      <c r="B2" s="6" t="s">
        <v>5</v>
      </c>
      <c r="C2" s="4" t="s">
        <v>8</v>
      </c>
      <c r="D2" s="3">
        <v>2.42</v>
      </c>
      <c r="E2" s="3">
        <v>105.512</v>
      </c>
      <c r="F2" s="3">
        <v>5.33</v>
      </c>
      <c r="G2" s="3">
        <v>609</v>
      </c>
      <c r="H2" s="3">
        <f t="shared" ref="H2:H19" si="0">J2-K2</f>
        <v>52.300000000000004</v>
      </c>
      <c r="I2" s="3">
        <v>310</v>
      </c>
      <c r="J2" s="3">
        <v>95.9</v>
      </c>
      <c r="K2" s="3">
        <v>43.6</v>
      </c>
      <c r="L2" s="3">
        <v>11.76834862385321</v>
      </c>
      <c r="M2" s="3">
        <v>0.50224127850321565</v>
      </c>
    </row>
    <row r="3" spans="1:13" ht="19.2" x14ac:dyDescent="0.4">
      <c r="A3" s="5" t="s">
        <v>10</v>
      </c>
      <c r="B3" s="6" t="s">
        <v>5</v>
      </c>
      <c r="C3" s="4" t="s">
        <v>8</v>
      </c>
      <c r="D3" s="3">
        <v>2.1800000000000002</v>
      </c>
      <c r="E3" s="3">
        <v>136.03200000000001</v>
      </c>
      <c r="F3" s="3">
        <v>7.62</v>
      </c>
      <c r="G3" s="3">
        <v>712</v>
      </c>
      <c r="H3" s="3">
        <f t="shared" si="0"/>
        <v>74.799999999999983</v>
      </c>
      <c r="I3" s="3">
        <v>414</v>
      </c>
      <c r="J3" s="3">
        <v>137.19999999999999</v>
      </c>
      <c r="K3" s="3">
        <v>62.4</v>
      </c>
      <c r="L3" s="3">
        <v>9.2115384615384617</v>
      </c>
      <c r="M3" s="3">
        <v>0.59011830201809334</v>
      </c>
    </row>
    <row r="4" spans="1:13" ht="19.2" x14ac:dyDescent="0.4">
      <c r="A4" s="5" t="s">
        <v>10</v>
      </c>
      <c r="B4" s="6" t="s">
        <v>5</v>
      </c>
      <c r="C4" s="4" t="s">
        <v>8</v>
      </c>
      <c r="D4" s="3">
        <v>1.56</v>
      </c>
      <c r="E4" s="3">
        <v>136.34400000000002</v>
      </c>
      <c r="F4" s="3">
        <v>10.67</v>
      </c>
      <c r="G4" s="3">
        <v>765</v>
      </c>
      <c r="H4" s="3">
        <f t="shared" si="0"/>
        <v>104.69999999999999</v>
      </c>
      <c r="I4" s="3">
        <v>518</v>
      </c>
      <c r="J4" s="3">
        <v>192.1</v>
      </c>
      <c r="K4" s="3">
        <v>87.4</v>
      </c>
      <c r="L4" s="3">
        <v>6.5549199084668182</v>
      </c>
      <c r="M4" s="3">
        <v>0.72141735032291854</v>
      </c>
    </row>
    <row r="5" spans="1:13" ht="19.2" x14ac:dyDescent="0.4">
      <c r="A5" s="5" t="s">
        <v>10</v>
      </c>
      <c r="B5" s="6" t="s">
        <v>5</v>
      </c>
      <c r="C5" s="4" t="s">
        <v>8</v>
      </c>
      <c r="D5" s="3">
        <v>1.39</v>
      </c>
      <c r="E5" s="3">
        <v>138.72199999999998</v>
      </c>
      <c r="F5" s="3">
        <v>12.19</v>
      </c>
      <c r="G5" s="3">
        <v>795</v>
      </c>
      <c r="H5" s="3">
        <f t="shared" si="0"/>
        <v>119.60000000000001</v>
      </c>
      <c r="I5" s="3">
        <v>490</v>
      </c>
      <c r="J5" s="3">
        <v>219.4</v>
      </c>
      <c r="K5" s="3">
        <v>99.8</v>
      </c>
      <c r="L5" s="3">
        <v>5.7675350701402808</v>
      </c>
      <c r="M5" s="3">
        <v>0.64350243224461423</v>
      </c>
    </row>
    <row r="6" spans="1:13" ht="19.2" x14ac:dyDescent="0.4">
      <c r="A6" s="5" t="s">
        <v>10</v>
      </c>
      <c r="B6" s="6" t="s">
        <v>6</v>
      </c>
      <c r="C6" s="4" t="s">
        <v>8</v>
      </c>
      <c r="D6" s="3">
        <v>2.73</v>
      </c>
      <c r="E6" s="3">
        <v>51.323999999999998</v>
      </c>
      <c r="F6" s="3">
        <v>1.92</v>
      </c>
      <c r="G6" s="3">
        <v>1033</v>
      </c>
      <c r="H6" s="3">
        <f t="shared" si="0"/>
        <v>9.0999999999999979</v>
      </c>
      <c r="I6" s="3">
        <v>15</v>
      </c>
      <c r="J6" s="3">
        <v>27.9</v>
      </c>
      <c r="K6" s="3">
        <v>18.8</v>
      </c>
      <c r="L6" s="3">
        <v>53.462765957446805</v>
      </c>
      <c r="M6" s="3">
        <v>5.8700626803303178E-3</v>
      </c>
    </row>
    <row r="7" spans="1:13" ht="19.2" x14ac:dyDescent="0.4">
      <c r="A7" s="5" t="s">
        <v>10</v>
      </c>
      <c r="B7" s="6" t="s">
        <v>6</v>
      </c>
      <c r="C7" s="4" t="s">
        <v>8</v>
      </c>
      <c r="D7" s="3">
        <v>2.48</v>
      </c>
      <c r="E7" s="3">
        <v>70.927999999999997</v>
      </c>
      <c r="F7" s="3">
        <v>4.01</v>
      </c>
      <c r="G7" s="3">
        <v>570</v>
      </c>
      <c r="H7" s="3">
        <f t="shared" si="0"/>
        <v>29.5</v>
      </c>
      <c r="I7" s="3">
        <v>150</v>
      </c>
      <c r="J7" s="3">
        <v>58.1</v>
      </c>
      <c r="K7" s="3">
        <v>28.6</v>
      </c>
      <c r="L7" s="3">
        <v>17.898601398601397</v>
      </c>
      <c r="M7" s="3">
        <v>0.23539753858175427</v>
      </c>
    </row>
    <row r="8" spans="1:13" ht="19.2" x14ac:dyDescent="0.4">
      <c r="A8" s="5" t="s">
        <v>10</v>
      </c>
      <c r="B8" s="6" t="s">
        <v>6</v>
      </c>
      <c r="C8" s="4" t="s">
        <v>8</v>
      </c>
      <c r="D8" s="3">
        <v>2.3199999999999998</v>
      </c>
      <c r="E8" s="3">
        <v>75.399999999999991</v>
      </c>
      <c r="F8" s="3">
        <v>4.84</v>
      </c>
      <c r="G8" s="3">
        <v>567</v>
      </c>
      <c r="H8" s="3">
        <f t="shared" si="0"/>
        <v>37.700000000000003</v>
      </c>
      <c r="I8" s="3">
        <v>171</v>
      </c>
      <c r="J8" s="3">
        <v>70.2</v>
      </c>
      <c r="K8" s="3">
        <v>32.5</v>
      </c>
      <c r="L8" s="3">
        <v>15.286153846153846</v>
      </c>
      <c r="M8" s="3">
        <v>0.26831723027375204</v>
      </c>
    </row>
    <row r="9" spans="1:13" ht="19.2" x14ac:dyDescent="0.4">
      <c r="A9" s="5" t="s">
        <v>10</v>
      </c>
      <c r="B9" s="6" t="s">
        <v>6</v>
      </c>
      <c r="C9" s="4" t="s">
        <v>8</v>
      </c>
      <c r="D9" s="3">
        <v>2</v>
      </c>
      <c r="E9" s="3">
        <v>94.4</v>
      </c>
      <c r="F9" s="3">
        <v>7.97</v>
      </c>
      <c r="G9" s="3">
        <v>606</v>
      </c>
      <c r="H9" s="3">
        <f t="shared" si="0"/>
        <v>68.399999999999991</v>
      </c>
      <c r="I9" s="3">
        <v>224</v>
      </c>
      <c r="J9" s="3">
        <v>115.6</v>
      </c>
      <c r="K9" s="3">
        <v>47.2</v>
      </c>
      <c r="L9" s="3">
        <v>10.389830508474574</v>
      </c>
      <c r="M9" s="3">
        <v>0.31729200652528555</v>
      </c>
    </row>
    <row r="10" spans="1:13" ht="19.2" x14ac:dyDescent="0.4">
      <c r="A10" s="5" t="s">
        <v>10</v>
      </c>
      <c r="B10" s="6" t="s">
        <v>6</v>
      </c>
      <c r="C10" s="4" t="s">
        <v>8</v>
      </c>
      <c r="D10" s="3">
        <v>2.2999999999999998</v>
      </c>
      <c r="E10" s="3">
        <v>119.6</v>
      </c>
      <c r="F10" s="3">
        <v>9.1</v>
      </c>
      <c r="G10" s="3">
        <v>547</v>
      </c>
      <c r="H10" s="3">
        <f t="shared" si="0"/>
        <v>80</v>
      </c>
      <c r="I10" s="3">
        <v>255</v>
      </c>
      <c r="J10" s="3">
        <v>132</v>
      </c>
      <c r="K10" s="3">
        <v>52</v>
      </c>
      <c r="L10" s="3">
        <v>7.9807692307692308</v>
      </c>
      <c r="M10" s="3">
        <v>0.42168674698795183</v>
      </c>
    </row>
    <row r="11" spans="1:13" ht="19.2" x14ac:dyDescent="0.4">
      <c r="A11" s="5" t="s">
        <v>10</v>
      </c>
      <c r="B11" s="6" t="s">
        <v>6</v>
      </c>
      <c r="C11" s="4" t="s">
        <v>8</v>
      </c>
      <c r="D11" s="3">
        <v>1.78</v>
      </c>
      <c r="E11" s="3">
        <v>107.334</v>
      </c>
      <c r="F11" s="3">
        <v>10.77</v>
      </c>
      <c r="G11" s="3">
        <v>708</v>
      </c>
      <c r="H11" s="3">
        <f t="shared" si="0"/>
        <v>95.899999999999991</v>
      </c>
      <c r="I11" s="3">
        <v>318</v>
      </c>
      <c r="J11" s="3">
        <v>156.19999999999999</v>
      </c>
      <c r="K11" s="3">
        <v>60.3</v>
      </c>
      <c r="L11" s="3">
        <v>9.150912106135987</v>
      </c>
      <c r="M11" s="3">
        <v>0.40250090612540784</v>
      </c>
    </row>
    <row r="12" spans="1:13" ht="19.2" x14ac:dyDescent="0.4">
      <c r="A12" s="5" t="s">
        <v>10</v>
      </c>
      <c r="B12" s="6" t="s">
        <v>6</v>
      </c>
      <c r="C12" s="4" t="s">
        <v>8</v>
      </c>
      <c r="D12" s="3">
        <v>1.56</v>
      </c>
      <c r="E12" s="3">
        <v>98.903999999999996</v>
      </c>
      <c r="F12" s="3">
        <v>11.44</v>
      </c>
      <c r="G12" s="3">
        <v>727</v>
      </c>
      <c r="H12" s="3">
        <f t="shared" si="0"/>
        <v>102.4</v>
      </c>
      <c r="I12" s="3">
        <v>318</v>
      </c>
      <c r="J12" s="3">
        <v>165.8</v>
      </c>
      <c r="K12" s="3">
        <v>63.4</v>
      </c>
      <c r="L12" s="3">
        <v>8.8517350157728707</v>
      </c>
      <c r="M12" s="3">
        <v>0.38417676407697787</v>
      </c>
    </row>
    <row r="13" spans="1:13" ht="19.2" x14ac:dyDescent="0.4">
      <c r="A13" s="5" t="s">
        <v>10</v>
      </c>
      <c r="B13" s="6" t="s">
        <v>6</v>
      </c>
      <c r="C13" s="4" t="s">
        <v>8</v>
      </c>
      <c r="D13" s="3">
        <v>1.72</v>
      </c>
      <c r="E13" s="3">
        <v>132.096</v>
      </c>
      <c r="F13" s="3">
        <v>14.29</v>
      </c>
      <c r="G13" s="3">
        <v>896</v>
      </c>
      <c r="H13" s="3">
        <f t="shared" si="0"/>
        <v>130.39999999999998</v>
      </c>
      <c r="I13" s="3">
        <v>415</v>
      </c>
      <c r="J13" s="3">
        <v>207.2</v>
      </c>
      <c r="K13" s="3">
        <v>76.8</v>
      </c>
      <c r="L13" s="3">
        <v>8.96875</v>
      </c>
      <c r="M13" s="3">
        <v>0.41318234610917542</v>
      </c>
    </row>
    <row r="14" spans="1:13" ht="19.2" x14ac:dyDescent="0.4">
      <c r="A14" s="5" t="s">
        <v>10</v>
      </c>
      <c r="B14" s="6" t="s">
        <v>6</v>
      </c>
      <c r="C14" s="4" t="s">
        <v>8</v>
      </c>
      <c r="D14" s="3">
        <v>1.41</v>
      </c>
      <c r="E14" s="3">
        <v>151.71599999999998</v>
      </c>
      <c r="F14" s="3">
        <v>20.85</v>
      </c>
      <c r="G14" s="3">
        <v>1417</v>
      </c>
      <c r="H14" s="3">
        <f t="shared" si="0"/>
        <v>194.79999999999998</v>
      </c>
      <c r="I14" s="3">
        <v>592</v>
      </c>
      <c r="J14" s="3">
        <v>302.39999999999998</v>
      </c>
      <c r="K14" s="3">
        <v>107.6</v>
      </c>
      <c r="L14" s="3">
        <v>10.358736059479554</v>
      </c>
      <c r="M14" s="3">
        <v>0.35636102637717576</v>
      </c>
    </row>
    <row r="15" spans="1:13" ht="19.2" x14ac:dyDescent="0.4">
      <c r="A15" s="5" t="s">
        <v>10</v>
      </c>
      <c r="B15" s="6" t="s">
        <v>7</v>
      </c>
      <c r="C15" s="4" t="s">
        <v>8</v>
      </c>
      <c r="D15" s="3">
        <v>1.6</v>
      </c>
      <c r="E15" s="3">
        <v>76.800000000000011</v>
      </c>
      <c r="F15" s="3">
        <v>6</v>
      </c>
      <c r="G15" s="3">
        <v>500</v>
      </c>
      <c r="H15" s="3">
        <f t="shared" si="0"/>
        <v>60</v>
      </c>
      <c r="I15" s="3">
        <v>345</v>
      </c>
      <c r="J15" s="3">
        <v>108</v>
      </c>
      <c r="K15" s="3">
        <v>48</v>
      </c>
      <c r="L15" s="3">
        <v>8.1666666666666661</v>
      </c>
      <c r="M15" s="3">
        <v>0.72704081632653061</v>
      </c>
    </row>
    <row r="16" spans="1:13" ht="19.2" x14ac:dyDescent="0.4">
      <c r="A16" s="5" t="s">
        <v>10</v>
      </c>
      <c r="B16" s="6" t="s">
        <v>7</v>
      </c>
      <c r="C16" s="4" t="s">
        <v>8</v>
      </c>
      <c r="D16" s="3">
        <v>1.6</v>
      </c>
      <c r="E16" s="3">
        <v>128</v>
      </c>
      <c r="F16" s="3">
        <v>10</v>
      </c>
      <c r="G16" s="3">
        <v>594</v>
      </c>
      <c r="H16" s="3">
        <f t="shared" si="0"/>
        <v>100</v>
      </c>
      <c r="I16" s="3">
        <v>459</v>
      </c>
      <c r="J16" s="3">
        <v>180</v>
      </c>
      <c r="K16" s="3">
        <v>80</v>
      </c>
      <c r="L16" s="3">
        <v>5.1749999999999998</v>
      </c>
      <c r="M16" s="3">
        <v>0.86714975845410625</v>
      </c>
    </row>
    <row r="17" spans="1:13" ht="19.2" x14ac:dyDescent="0.4">
      <c r="A17" s="5" t="s">
        <v>10</v>
      </c>
      <c r="B17" s="6" t="s">
        <v>7</v>
      </c>
      <c r="C17" s="4" t="s">
        <v>8</v>
      </c>
      <c r="D17" s="3">
        <v>1.6</v>
      </c>
      <c r="E17" s="3">
        <v>179.20000000000002</v>
      </c>
      <c r="F17" s="3">
        <v>14</v>
      </c>
      <c r="G17" s="3">
        <v>824</v>
      </c>
      <c r="H17" s="3">
        <f t="shared" si="0"/>
        <v>140</v>
      </c>
      <c r="I17" s="3">
        <v>608</v>
      </c>
      <c r="J17" s="3">
        <v>252</v>
      </c>
      <c r="K17" s="3">
        <v>112</v>
      </c>
      <c r="L17" s="3">
        <v>5.1071428571428568</v>
      </c>
      <c r="M17" s="3">
        <v>0.81818181818181823</v>
      </c>
    </row>
    <row r="18" spans="1:13" ht="19.2" x14ac:dyDescent="0.4">
      <c r="A18" s="5" t="s">
        <v>10</v>
      </c>
      <c r="B18" s="6" t="s">
        <v>7</v>
      </c>
      <c r="C18" s="4" t="s">
        <v>8</v>
      </c>
      <c r="D18" s="3">
        <v>1.6</v>
      </c>
      <c r="E18" s="3">
        <v>230.4</v>
      </c>
      <c r="F18" s="3">
        <v>18</v>
      </c>
      <c r="G18" s="3">
        <v>946</v>
      </c>
      <c r="H18" s="3">
        <f t="shared" si="0"/>
        <v>180</v>
      </c>
      <c r="I18" s="3">
        <v>702</v>
      </c>
      <c r="J18" s="3">
        <v>324</v>
      </c>
      <c r="K18" s="3">
        <v>144</v>
      </c>
      <c r="L18" s="3">
        <v>4.3194444444444446</v>
      </c>
      <c r="M18" s="3">
        <v>0.83922829581993574</v>
      </c>
    </row>
    <row r="19" spans="1:13" ht="19.2" x14ac:dyDescent="0.4">
      <c r="A19" s="5" t="s">
        <v>10</v>
      </c>
      <c r="B19" s="6" t="s">
        <v>7</v>
      </c>
      <c r="C19" s="4" t="s">
        <v>8</v>
      </c>
      <c r="D19" s="3">
        <v>1.6</v>
      </c>
      <c r="E19" s="3">
        <v>76.800000000000011</v>
      </c>
      <c r="F19" s="3">
        <v>6</v>
      </c>
      <c r="G19" s="3">
        <v>500</v>
      </c>
      <c r="H19" s="3">
        <f t="shared" si="0"/>
        <v>60</v>
      </c>
      <c r="I19" s="3">
        <v>345</v>
      </c>
      <c r="J19" s="3">
        <v>108</v>
      </c>
      <c r="K19" s="3">
        <v>48</v>
      </c>
      <c r="L19" s="3">
        <v>8.1666666666666661</v>
      </c>
      <c r="M19" s="3">
        <v>0.72704081632653061</v>
      </c>
    </row>
    <row r="20" spans="1:13" ht="19.2" x14ac:dyDescent="0.4">
      <c r="A20" s="5"/>
      <c r="B20" s="6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</row>
    <row r="21" spans="1:13" ht="19.2" x14ac:dyDescent="0.4">
      <c r="A21" s="5"/>
      <c r="B21" s="6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</row>
  </sheetData>
  <autoFilter ref="A1:M21" xr:uid="{FACBE6FC-927C-4FBF-B84F-04AB8FB97A52}">
    <sortState xmlns:xlrd2="http://schemas.microsoft.com/office/spreadsheetml/2017/richdata2" ref="A2:M21">
      <sortCondition ref="C1:C2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곽다은</dc:creator>
  <cp:lastModifiedBy>Daeun Gwak</cp:lastModifiedBy>
  <dcterms:created xsi:type="dcterms:W3CDTF">2024-03-26T05:58:24Z</dcterms:created>
  <dcterms:modified xsi:type="dcterms:W3CDTF">2026-03-22T04:10:02Z</dcterms:modified>
</cp:coreProperties>
</file>